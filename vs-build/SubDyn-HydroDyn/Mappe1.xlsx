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\witlis2\taisei\SLOW_ElasticFloater\openfast\vs-build\SubDyn-HydroDyn\"/>
    </mc:Choice>
  </mc:AlternateContent>
  <xr:revisionPtr revIDLastSave="0" documentId="13_ncr:1_{EC544ADE-394A-4490-9116-C7E98163C1E6}" xr6:coauthVersionLast="47" xr6:coauthVersionMax="47" xr10:uidLastSave="{00000000-0000-0000-0000-000000000000}"/>
  <bookViews>
    <workbookView xWindow="2640" yWindow="2640" windowWidth="21600" windowHeight="12645" xr2:uid="{71F6A2D8-5E7D-455C-A7B9-C2A8DA403F5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B9" i="1"/>
  <c r="B10" i="1" s="1"/>
  <c r="G10" i="1"/>
  <c r="G9" i="1"/>
  <c r="G8" i="1"/>
  <c r="B8" i="1"/>
  <c r="B11" i="1"/>
  <c r="B12" i="1" l="1"/>
</calcChain>
</file>

<file path=xl/sharedStrings.xml><?xml version="1.0" encoding="utf-8"?>
<sst xmlns="http://schemas.openxmlformats.org/spreadsheetml/2006/main" count="38" uniqueCount="26">
  <si>
    <t>Test SD</t>
  </si>
  <si>
    <t>BeamA</t>
  </si>
  <si>
    <t>BeamB</t>
  </si>
  <si>
    <t>Dens</t>
  </si>
  <si>
    <t>CA</t>
  </si>
  <si>
    <t>Beam struct. cross sect area</t>
  </si>
  <si>
    <t>Beam struct. thickness</t>
  </si>
  <si>
    <t>Added mass A/length</t>
  </si>
  <si>
    <t>Added mass A/m^3</t>
  </si>
  <si>
    <t>Perpendicular to side A</t>
  </si>
  <si>
    <t>Perpendicular to side B</t>
  </si>
  <si>
    <t>Add this to beam struct. density</t>
  </si>
  <si>
    <t>Reference w/ HD</t>
  </si>
  <si>
    <t>Results</t>
  </si>
  <si>
    <t>Added mass B/length</t>
  </si>
  <si>
    <t>Added mass B/m^3</t>
  </si>
  <si>
    <t>Reference w/o HD (hdoff)</t>
  </si>
  <si>
    <t>Reference w/o HD increased strct mass (hdoffA)</t>
  </si>
  <si>
    <t>1st up-down (A)</t>
  </si>
  <si>
    <t>1st side-side (B)</t>
  </si>
  <si>
    <t>Reference w/o HD increased strct mass (hdoffB)</t>
  </si>
  <si>
    <t>Rectangular</t>
  </si>
  <si>
    <t>Cylindrical</t>
  </si>
  <si>
    <t>D</t>
  </si>
  <si>
    <t>Reference w/ HD vertical (vert)</t>
  </si>
  <si>
    <t>Reference w/ HD 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</si>
</sst>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0" fillId="0" borderId="0" xfId="0" applyNumberFormat="1"/>
    <xf numFmtId="11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8DD3E-1D49-4D1F-A5BF-CBD0BEC357E6}">
  <dimension ref="A1:J22"/>
  <sheetViews>
    <sheetView tabSelected="1" workbookViewId="0">
      <selection activeCell="A19" sqref="A19"/>
    </sheetView>
  </sheetViews>
  <sheetFormatPr baseColWidth="10" defaultRowHeight="15" x14ac:dyDescent="0.25"/>
  <cols>
    <col min="1" max="1" width="43" customWidth="1"/>
    <col min="2" max="2" width="23.28515625" customWidth="1"/>
    <col min="3" max="3" width="14.5703125" customWidth="1"/>
    <col min="6" max="6" width="38.7109375" customWidth="1"/>
  </cols>
  <sheetData>
    <row r="1" spans="1:10" x14ac:dyDescent="0.25">
      <c r="A1" s="1" t="s">
        <v>0</v>
      </c>
    </row>
    <row r="2" spans="1:10" x14ac:dyDescent="0.25">
      <c r="A2" s="1" t="s">
        <v>21</v>
      </c>
      <c r="F2" s="1" t="s">
        <v>22</v>
      </c>
    </row>
    <row r="3" spans="1:10" x14ac:dyDescent="0.25">
      <c r="A3" t="s">
        <v>1</v>
      </c>
      <c r="B3">
        <v>6</v>
      </c>
      <c r="F3" t="s">
        <v>23</v>
      </c>
      <c r="G3">
        <v>6</v>
      </c>
      <c r="J3">
        <f>PI()*G3^2/4</f>
        <v>28.274333882308138</v>
      </c>
    </row>
    <row r="4" spans="1:10" x14ac:dyDescent="0.25">
      <c r="A4" t="s">
        <v>2</v>
      </c>
      <c r="B4">
        <v>2</v>
      </c>
    </row>
    <row r="5" spans="1:10" x14ac:dyDescent="0.25">
      <c r="A5" t="s">
        <v>3</v>
      </c>
      <c r="B5">
        <v>1025</v>
      </c>
      <c r="F5" t="s">
        <v>3</v>
      </c>
      <c r="G5">
        <v>1025</v>
      </c>
    </row>
    <row r="6" spans="1:10" x14ac:dyDescent="0.25">
      <c r="A6" t="s">
        <v>4</v>
      </c>
      <c r="B6">
        <v>1</v>
      </c>
      <c r="F6" t="s">
        <v>4</v>
      </c>
      <c r="G6">
        <v>1</v>
      </c>
    </row>
    <row r="7" spans="1:10" x14ac:dyDescent="0.25">
      <c r="A7" t="s">
        <v>6</v>
      </c>
      <c r="B7">
        <v>0.1</v>
      </c>
      <c r="F7" t="s">
        <v>6</v>
      </c>
      <c r="G7">
        <v>0.1</v>
      </c>
    </row>
    <row r="8" spans="1:10" x14ac:dyDescent="0.25">
      <c r="A8" t="s">
        <v>5</v>
      </c>
      <c r="B8">
        <f>B3*B4 - (B3-2*B7)*(B4-2*B7)</f>
        <v>1.5600000000000005</v>
      </c>
      <c r="F8" t="s">
        <v>5</v>
      </c>
      <c r="G8">
        <f>PI()*(G3^2-(G3-2*G7)^2)/4</f>
        <v>1.8535396656179774</v>
      </c>
    </row>
    <row r="9" spans="1:10" x14ac:dyDescent="0.25">
      <c r="A9" t="s">
        <v>7</v>
      </c>
      <c r="B9">
        <f>PI()*B3^2/4*B5*B6</f>
        <v>28981.192229365843</v>
      </c>
      <c r="C9" t="s">
        <v>9</v>
      </c>
      <c r="F9" t="s">
        <v>7</v>
      </c>
      <c r="G9">
        <f>PI()*G3^2/4*G5*G6</f>
        <v>28981.192229365843</v>
      </c>
    </row>
    <row r="10" spans="1:10" x14ac:dyDescent="0.25">
      <c r="A10" s="1" t="s">
        <v>8</v>
      </c>
      <c r="B10" s="1">
        <f>B9/B8</f>
        <v>18577.68732651656</v>
      </c>
      <c r="C10" t="s">
        <v>11</v>
      </c>
      <c r="F10" s="1" t="s">
        <v>8</v>
      </c>
      <c r="G10">
        <f>G9/G8</f>
        <v>15635.593220338988</v>
      </c>
    </row>
    <row r="11" spans="1:10" x14ac:dyDescent="0.25">
      <c r="A11" t="s">
        <v>14</v>
      </c>
      <c r="B11">
        <f>PI()*B4^2/4*B5*B6</f>
        <v>3220.1324699295378</v>
      </c>
      <c r="C11" t="s">
        <v>10</v>
      </c>
    </row>
    <row r="12" spans="1:10" x14ac:dyDescent="0.25">
      <c r="A12" s="1" t="s">
        <v>15</v>
      </c>
      <c r="B12" s="1">
        <f>B11/B8</f>
        <v>2064.187480724062</v>
      </c>
      <c r="C12" t="s">
        <v>11</v>
      </c>
    </row>
    <row r="17" spans="1:8" s="1" customFormat="1" x14ac:dyDescent="0.25">
      <c r="A17" s="1" t="s">
        <v>13</v>
      </c>
      <c r="B17" s="1" t="s">
        <v>18</v>
      </c>
      <c r="C17" s="1" t="s">
        <v>19</v>
      </c>
      <c r="F17" s="1" t="s">
        <v>13</v>
      </c>
      <c r="G17" s="1" t="s">
        <v>18</v>
      </c>
      <c r="H17" s="1" t="s">
        <v>19</v>
      </c>
    </row>
    <row r="18" spans="1:8" x14ac:dyDescent="0.25">
      <c r="A18" t="s">
        <v>25</v>
      </c>
      <c r="B18" s="3">
        <v>1.4728889999999999</v>
      </c>
      <c r="C18" s="3">
        <v>5.6218539999999999</v>
      </c>
      <c r="F18" t="s">
        <v>12</v>
      </c>
      <c r="G18" s="5">
        <v>3.6390020000000001</v>
      </c>
      <c r="H18" s="5">
        <v>3.6390020000000001</v>
      </c>
    </row>
    <row r="19" spans="1:8" x14ac:dyDescent="0.25">
      <c r="A19" t="s">
        <v>24</v>
      </c>
      <c r="B19" s="3">
        <v>1.4728889999999999</v>
      </c>
      <c r="C19" s="3">
        <v>5.6218539999999999</v>
      </c>
      <c r="F19" t="s">
        <v>16</v>
      </c>
      <c r="G19" s="4">
        <v>6.2158600000000002</v>
      </c>
      <c r="H19" s="4">
        <v>6.2158600000000002</v>
      </c>
    </row>
    <row r="20" spans="1:8" x14ac:dyDescent="0.25">
      <c r="A20" t="s">
        <v>16</v>
      </c>
      <c r="B20" s="2">
        <v>2.6813470000000001</v>
      </c>
      <c r="C20" s="2">
        <v>6.2988770000000001</v>
      </c>
      <c r="F20" t="s">
        <v>17</v>
      </c>
      <c r="G20" s="5">
        <v>3.616333</v>
      </c>
      <c r="H20" s="5">
        <v>3.616333</v>
      </c>
    </row>
    <row r="21" spans="1:8" x14ac:dyDescent="0.25">
      <c r="A21" t="s">
        <v>17</v>
      </c>
      <c r="B21" s="3">
        <v>1.471109</v>
      </c>
      <c r="C21" s="2">
        <v>3.4558520000000001</v>
      </c>
    </row>
    <row r="22" spans="1:8" x14ac:dyDescent="0.25">
      <c r="A22" t="s">
        <v>20</v>
      </c>
      <c r="B22" s="2">
        <v>2.3906320000000001</v>
      </c>
      <c r="C22" s="3">
        <v>5.615945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Lemmer</dc:creator>
  <cp:lastModifiedBy>Frank Lemmer</cp:lastModifiedBy>
  <dcterms:created xsi:type="dcterms:W3CDTF">2025-08-06T18:19:56Z</dcterms:created>
  <dcterms:modified xsi:type="dcterms:W3CDTF">2025-08-08T05:05:24Z</dcterms:modified>
</cp:coreProperties>
</file>